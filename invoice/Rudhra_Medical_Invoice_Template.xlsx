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2"/>
    <sheet name="Produc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<sst xmlns="http://schemas.openxmlformats.org/spreadsheetml/2006/main" count="56" uniqueCount="55">
  <si>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RUDHRA MEDICAL</t>
  </si>
  <si>
    <t xml:space="preserve">  [Yahan apni dukaan ka pura address likhein]  |  Phone: 00000 00000</t>
  </si>
  <si>
    <t xml:space="preserve">  GSTIN: 00XXXXX0000X0X0  |  Email: rudhramedical@example.com  |  Drug Lic. No.: XX-XXXXXX</t>
  </si>
  <si>
    <t xml:space="preserve">TAX INVOICE</t>
  </si>
  <si>
    <t xml:space="preserve">Invoice No:</t>
  </si>
  <si>
    <t xml:space="preserve">RM-0001</t>
  </si>
  <si>
    <t xml:space="preserve">Date:</t>
  </si>
  <si>
    <t xml:space="preserve">25/10/2026</t>
  </si>
  <si>
    <t xml:space="preserve">Customer:</t>
  </si>
  <si>
    <t xml:space="preserve">Walk-in Customer</t>
  </si>
  <si>
    <t xml:space="preserve">Phone:</t>
  </si>
  <si>
    <t xml:space="preserve">Doctor:</t>
  </si>
  <si>
    <t xml:space="preserve">Prescription:</t>
  </si>
  <si>
    <t xml:space="preserve">Yes / No</t>
  </si>
  <si>
    <t xml:space="preserve">S.No</t>
  </si>
  <si>
    <t xml:space="preserve">Medicine / Product</t>
  </si>
  <si>
    <t xml:space="preserve">Batch No</t>
  </si>
  <si>
    <t xml:space="preserve">Expiry</t>
  </si>
  <si>
    <t xml:space="preserve">HSN</t>
  </si>
  <si>
    <t xml:space="preserve">Qty</t>
  </si>
  <si>
    <t xml:space="preserve">MRP</t>
  </si>
  <si>
    <t xml:space="preserve">Rate</t>
  </si>
  <si>
    <t xml:space="preserve">Disc%</t>
  </si>
  <si>
    <t xml:space="preserve">Taxable</t>
  </si>
  <si>
    <t xml:space="preserve">GST%</t>
  </si>
  <si>
    <t xml:space="preserve">GST Amt</t>
  </si>
  <si>
    <t xml:space="preserve">Total</t>
  </si>
  <si>
    <t xml:space="preserve">Paracetamol 500mg Tab (Strip of 15)</t>
  </si>
  <si>
    <t xml:space="preserve">PCM-2411A</t>
  </si>
  <si>
    <t xml:space="preserve">08/27</t>
  </si>
  <si>
    <t xml:space="preserve">3004</t>
  </si>
  <si>
    <t xml:space="preserve">TOTAL</t>
  </si>
  <si>
    <t xml:space="preserve">GRAND TOTAL</t>
  </si>
  <si>
    <t xml:space="preserve">Amount in words:</t>
  </si>
  <si>
    <t xml:space="preserve">[Bill ke total ko shabdon me likhein]</t>
  </si>
  <si>
    <t xml:space="preserve">Bhare jaane wale cells (peela): Invoice No, Date, Customer, Phone, Doctor, aur saari line-items. Taxable / GST / Total khud calculate ho jaate hain.</t>
  </si>
  <si>
    <t xml:space="preserve">GST % : dawa par aam taur par 5% ya 12% (apne accountant se confirm karein). Disc% : us line par di gayi chhoot.</t>
  </si>
  <si>
    <t xml:space="preserve">RUDHRA MEDICAL — PRODUCT / STOCK LIST</t>
  </si>
  <si>
    <t xml:space="preserve">Product Name</t>
  </si>
  <si>
    <t xml:space="preserve">Category</t>
  </si>
  <si>
    <t xml:space="preserve">Pack / Size</t>
  </si>
  <si>
    <t xml:space="preserve">MRP (₹)</t>
  </si>
  <si>
    <t xml:space="preserve">Selling Rate (₹)</t>
  </si>
  <si>
    <t xml:space="preserve">GST %</t>
  </si>
  <si>
    <t xml:space="preserve">Stock</t>
  </si>
  <si>
    <t xml:space="preserve">Rx Required?</t>
  </si>
  <si>
    <t xml:space="preserve">Description (website ke liye)</t>
  </si>
  <si>
    <t xml:space="preserve">Photo URL</t>
  </si>
  <si>
    <t xml:space="preserve">Paracetamol 500mg Tablet</t>
  </si>
  <si>
    <t xml:space="preserve">Fever / Pain</t>
  </si>
  <si>
    <t xml:space="preserve">Strip of 15</t>
  </si>
  <si>
    <t xml:space="preserve">No</t>
  </si>
  <si>
    <t xml:space="preserve">Bukhar aur dard ke liye. Doctor ki salah par lein.</t>
  </si>
  <si>
    <t xml:space="preserve">https://example.com/paracetamol.jpg</t>
  </si>
  <si>
    <t xml:space="preserve">Har dawa ki ek row bharein. Yehi list website par bhi dikhayi ja sakti hai. Rx Required? = Haan likhein un dawaon ke liye jo bina prescription nahi de sakte (Schedule H/H1).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</si>
</sst>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&quot;₹ &quot;#,##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3"/>
      <color rgb="FF1F3B4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7CC"/>
        <bgColor rgb="FFEAF4F1"/>
      </patternFill>
    </fill>
    <fill>
      <patternFill patternType="solid">
        <fgColor rgb="FFEAF4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0"/>
      <rgbColor rgb="FF808080"/>
      <rgbColor rgb="FF9999FF"/>
      <rgbColor rgb="FF993366"/>
      <rgbColor rgb="FFFFF7CC"/>
      <rgbColor rgb="FFEAF4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1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customFormat="false" ht="15" hidden="false" customHeight="false" outlineLevel="0" collapsed="false">
      <c r="A7" s="4" t="s">
        <v>4</v>
      </c>
      <c r="C7" s="5" t="s">
        <v>5</v>
      </c>
      <c r="H7" s="6" t="s">
        <v>6</v>
      </c>
      <c r="J7" s="5" t="s">
        <v>7</v>
      </c>
    </row>
    <row r="8" customFormat="false" ht="15" hidden="false" customHeight="false" outlineLevel="0" collapsed="false">
      <c r="A8" s="4" t="s">
        <v>8</v>
      </c>
      <c r="C8" s="5" t="s">
        <v>9</v>
      </c>
      <c r="H8" s="6" t="s">
        <v>10</v>
      </c>
      <c r="J8" s="5"/>
    </row>
    <row r="9" customFormat="false" ht="15" hidden="false" customHeight="false" outlineLevel="0" collapsed="false">
      <c r="A9" s="4" t="s">
        <v>11</v>
      </c>
      <c r="C9" s="5"/>
      <c r="H9" s="6" t="s">
        <v>12</v>
      </c>
      <c r="J9" s="5" t="s">
        <v>13</v>
      </c>
    </row>
    <row r="11" customFormat="false" ht="27.75" hidden="false" customHeight="true" outlineLevel="0" collapsed="false">
      <c r="A11" s="7" t="s">
        <v>14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7" t="s">
        <v>22</v>
      </c>
      <c r="J11" s="7" t="s">
        <v>23</v>
      </c>
      <c r="K11" s="7" t="s">
        <v>24</v>
      </c>
      <c r="L11" s="7" t="s">
        <v>25</v>
      </c>
      <c r="M11" s="7" t="s">
        <v>26</v>
      </c>
    </row>
    <row r="12" customFormat="false" ht="18" hidden="false" customHeight="true" outlineLevel="0" collapsed="false">
      <c r="A12" s="8" t="n">
        <v>1</v>
      </c>
      <c r="B12" s="9" t="s">
        <v>27</v>
      </c>
      <c r="C12" s="10" t="s">
        <v>28</v>
      </c>
      <c r="D12" s="10" t="s">
        <v>29</v>
      </c>
      <c r="E12" s="10" t="s">
        <v>30</v>
      </c>
      <c r="F12" s="10" t="n">
        <v>2</v>
      </c>
      <c r="G12" s="11" t="n">
        <v>35</v>
      </c>
      <c r="H12" s="11" t="n">
        <v>33.25</v>
      </c>
      <c r="I12" s="10" t="n">
        <v>0</v>
      </c>
      <c r="J12" s="11" t="n">
        <f aca="false">IF(F12="","",F12*H12*(1-I12/100))</f>
        <v>66.5</v>
      </c>
      <c r="K12" s="10" t="n">
        <v>5</v>
      </c>
      <c r="L12" s="11" t="n">
        <f aca="false">IF(J12="","",J12*K12/100)</f>
        <v>3.325</v>
      </c>
      <c r="M12" s="11" t="n">
        <f aca="false">IF(J12="","",J12+L12)</f>
        <v>69.825</v>
      </c>
    </row>
    <row r="13" customFormat="false" ht="18" hidden="false" customHeight="true" outlineLevel="0" collapsed="false">
      <c r="A13" s="8" t="n">
        <v>2</v>
      </c>
      <c r="B13" s="9"/>
      <c r="C13" s="10"/>
      <c r="D13" s="10"/>
      <c r="E13" s="10"/>
      <c r="F13" s="10"/>
      <c r="G13" s="11"/>
      <c r="H13" s="11"/>
      <c r="I13" s="10"/>
      <c r="J13" s="11" t="str">
        <f aca="false">IF(F13="","",F13*H13*(1-I13/100))</f>
        <v/>
      </c>
      <c r="K13" s="10"/>
      <c r="L13" s="11" t="str">
        <f aca="false">IF(J13="","",J13*K13/100)</f>
        <v/>
      </c>
      <c r="M13" s="11" t="str">
        <f aca="false">IF(J13="","",J13+L13)</f>
        <v/>
      </c>
    </row>
    <row r="14" customFormat="false" ht="18" hidden="false" customHeight="true" outlineLevel="0" collapsed="false">
      <c r="A14" s="8" t="n">
        <v>3</v>
      </c>
      <c r="B14" s="9"/>
      <c r="C14" s="10"/>
      <c r="D14" s="10"/>
      <c r="E14" s="10"/>
      <c r="F14" s="10"/>
      <c r="G14" s="11"/>
      <c r="H14" s="11"/>
      <c r="I14" s="10"/>
      <c r="J14" s="11" t="str">
        <f aca="false">IF(F14="","",F14*H14*(1-I14/100))</f>
        <v/>
      </c>
      <c r="K14" s="10"/>
      <c r="L14" s="11" t="str">
        <f aca="false">IF(J14="","",J14*K14/100)</f>
        <v/>
      </c>
      <c r="M14" s="11" t="str">
        <f aca="false">IF(J14="","",J14+L14)</f>
        <v/>
      </c>
    </row>
    <row r="15" customFormat="false" ht="18" hidden="false" customHeight="true" outlineLevel="0" collapsed="false">
      <c r="A15" s="8" t="n">
        <v>4</v>
      </c>
      <c r="B15" s="9"/>
      <c r="C15" s="10"/>
      <c r="D15" s="10"/>
      <c r="E15" s="10"/>
      <c r="F15" s="10"/>
      <c r="G15" s="11"/>
      <c r="H15" s="11"/>
      <c r="I15" s="10"/>
      <c r="J15" s="11" t="str">
        <f aca="false">IF(F15="","",F15*H15*(1-I15/100))</f>
        <v/>
      </c>
      <c r="K15" s="10"/>
      <c r="L15" s="11" t="str">
        <f aca="false">IF(J15="","",J15*K15/100)</f>
        <v/>
      </c>
      <c r="M15" s="11" t="str">
        <f aca="false">IF(J15="","",J15+L15)</f>
        <v/>
      </c>
    </row>
    <row r="16" customFormat="false" ht="18" hidden="false" customHeight="true" outlineLevel="0" collapsed="false">
      <c r="A16" s="8" t="n">
        <v>5</v>
      </c>
      <c r="B16" s="9"/>
      <c r="C16" s="10"/>
      <c r="D16" s="10"/>
      <c r="E16" s="10"/>
      <c r="F16" s="10"/>
      <c r="G16" s="11"/>
      <c r="H16" s="11"/>
      <c r="I16" s="10"/>
      <c r="J16" s="11" t="str">
        <f aca="false">IF(F16="","",F16*H16*(1-I16/100))</f>
        <v/>
      </c>
      <c r="K16" s="10"/>
      <c r="L16" s="11" t="str">
        <f aca="false">IF(J16="","",J16*K16/100)</f>
        <v/>
      </c>
      <c r="M16" s="11" t="str">
        <f aca="false">IF(J16="","",J16+L16)</f>
        <v/>
      </c>
    </row>
    <row r="17" customFormat="false" ht="18" hidden="false" customHeight="true" outlineLevel="0" collapsed="false">
      <c r="A17" s="8" t="n">
        <v>6</v>
      </c>
      <c r="B17" s="9"/>
      <c r="C17" s="10"/>
      <c r="D17" s="10"/>
      <c r="E17" s="10"/>
      <c r="F17" s="10"/>
      <c r="G17" s="11"/>
      <c r="H17" s="11"/>
      <c r="I17" s="10"/>
      <c r="J17" s="11" t="str">
        <f aca="false">IF(F17="","",F17*H17*(1-I17/100))</f>
        <v/>
      </c>
      <c r="K17" s="10"/>
      <c r="L17" s="11" t="str">
        <f aca="false">IF(J17="","",J17*K17/100)</f>
        <v/>
      </c>
      <c r="M17" s="11" t="str">
        <f aca="false">IF(J17="","",J17+L17)</f>
        <v/>
      </c>
    </row>
    <row r="18" customFormat="false" ht="18" hidden="false" customHeight="true" outlineLevel="0" collapsed="false">
      <c r="A18" s="8" t="n">
        <v>7</v>
      </c>
      <c r="B18" s="9"/>
      <c r="C18" s="10"/>
      <c r="D18" s="10"/>
      <c r="E18" s="10"/>
      <c r="F18" s="10"/>
      <c r="G18" s="11"/>
      <c r="H18" s="11"/>
      <c r="I18" s="10"/>
      <c r="J18" s="11" t="str">
        <f aca="false">IF(F18="","",F18*H18*(1-I18/100))</f>
        <v/>
      </c>
      <c r="K18" s="10"/>
      <c r="L18" s="11" t="str">
        <f aca="false">IF(J18="","",J18*K18/100)</f>
        <v/>
      </c>
      <c r="M18" s="11" t="str">
        <f aca="false">IF(J18="","",J18+L18)</f>
        <v/>
      </c>
    </row>
    <row r="19" customFormat="false" ht="18" hidden="false" customHeight="true" outlineLevel="0" collapsed="false">
      <c r="A19" s="8" t="n">
        <v>8</v>
      </c>
      <c r="B19" s="9"/>
      <c r="C19" s="10"/>
      <c r="D19" s="10"/>
      <c r="E19" s="10"/>
      <c r="F19" s="10"/>
      <c r="G19" s="11"/>
      <c r="H19" s="11"/>
      <c r="I19" s="10"/>
      <c r="J19" s="11" t="str">
        <f aca="false">IF(F19="","",F19*H19*(1-I19/100))</f>
        <v/>
      </c>
      <c r="K19" s="10"/>
      <c r="L19" s="11" t="str">
        <f aca="false">IF(J19="","",J19*K19/100)</f>
        <v/>
      </c>
      <c r="M19" s="11" t="str">
        <f aca="false">IF(J19="","",J19+L19)</f>
        <v/>
      </c>
    </row>
    <row r="20" customFormat="false" ht="18" hidden="false" customHeight="true" outlineLevel="0" collapsed="false">
      <c r="A20" s="8" t="n">
        <v>9</v>
      </c>
      <c r="B20" s="9"/>
      <c r="C20" s="10"/>
      <c r="D20" s="10"/>
      <c r="E20" s="10"/>
      <c r="F20" s="10"/>
      <c r="G20" s="11"/>
      <c r="H20" s="11"/>
      <c r="I20" s="10"/>
      <c r="J20" s="11" t="str">
        <f aca="false">IF(F20="","",F20*H20*(1-I20/100))</f>
        <v/>
      </c>
      <c r="K20" s="10"/>
      <c r="L20" s="11" t="str">
        <f aca="false">IF(J20="","",J20*K20/100)</f>
        <v/>
      </c>
      <c r="M20" s="11" t="str">
        <f aca="false">IF(J20="","",J20+L20)</f>
        <v/>
      </c>
    </row>
    <row r="21" customFormat="false" ht="18" hidden="false" customHeight="true" outlineLevel="0" collapsed="false">
      <c r="A21" s="8" t="n">
        <v>10</v>
      </c>
      <c r="B21" s="9"/>
      <c r="C21" s="10"/>
      <c r="D21" s="10"/>
      <c r="E21" s="10"/>
      <c r="F21" s="10"/>
      <c r="G21" s="11"/>
      <c r="H21" s="11"/>
      <c r="I21" s="10"/>
      <c r="J21" s="11" t="str">
        <f aca="false">IF(F21="","",F21*H21*(1-I21/100))</f>
        <v/>
      </c>
      <c r="K21" s="10"/>
      <c r="L21" s="11" t="str">
        <f aca="false">IF(J21="","",J21*K21/100)</f>
        <v/>
      </c>
      <c r="M21" s="11" t="str">
        <f aca="false">IF(J21="","",J21+L21)</f>
        <v/>
      </c>
    </row>
    <row r="22" customFormat="false" ht="18" hidden="false" customHeight="true" outlineLevel="0" collapsed="false">
      <c r="A22" s="8" t="n">
        <v>11</v>
      </c>
      <c r="B22" s="9"/>
      <c r="C22" s="10"/>
      <c r="D22" s="10"/>
      <c r="E22" s="10"/>
      <c r="F22" s="10"/>
      <c r="G22" s="11"/>
      <c r="H22" s="11"/>
      <c r="I22" s="10"/>
      <c r="J22" s="11" t="str">
        <f aca="false">IF(F22="","",F22*H22*(1-I22/100))</f>
        <v/>
      </c>
      <c r="K22" s="10"/>
      <c r="L22" s="11" t="str">
        <f aca="false">IF(J22="","",J22*K22/100)</f>
        <v/>
      </c>
      <c r="M22" s="11" t="str">
        <f aca="false">IF(J22="","",J22+L22)</f>
        <v/>
      </c>
    </row>
    <row r="23" customFormat="false" ht="18" hidden="false" customHeight="true" outlineLevel="0" collapsed="false">
      <c r="A23" s="8" t="n">
        <v>12</v>
      </c>
      <c r="B23" s="9"/>
      <c r="C23" s="10"/>
      <c r="D23" s="10"/>
      <c r="E23" s="10"/>
      <c r="F23" s="10"/>
      <c r="G23" s="11"/>
      <c r="H23" s="11"/>
      <c r="I23" s="10"/>
      <c r="J23" s="11" t="str">
        <f aca="false">IF(F23="","",F23*H23*(1-I23/100))</f>
        <v/>
      </c>
      <c r="K23" s="10"/>
      <c r="L23" s="11" t="str">
        <f aca="false">IF(J23="","",J23*K23/100)</f>
        <v/>
      </c>
      <c r="M23" s="11" t="str">
        <f aca="false">IF(J23="","",J23+L23)</f>
        <v/>
      </c>
    </row>
    <row r="24" customFormat="false" ht="18" hidden="false" customHeight="true" outlineLevel="0" collapsed="false">
      <c r="A24" s="8" t="n">
        <v>13</v>
      </c>
      <c r="B24" s="9"/>
      <c r="C24" s="10"/>
      <c r="D24" s="10"/>
      <c r="E24" s="10"/>
      <c r="F24" s="10"/>
      <c r="G24" s="11"/>
      <c r="H24" s="11"/>
      <c r="I24" s="10"/>
      <c r="J24" s="11" t="str">
        <f aca="false">IF(F24="","",F24*H24*(1-I24/100))</f>
        <v/>
      </c>
      <c r="K24" s="10"/>
      <c r="L24" s="11" t="str">
        <f aca="false">IF(J24="","",J24*K24/100)</f>
        <v/>
      </c>
      <c r="M24" s="11" t="str">
        <f aca="false">IF(J24="","",J24+L24)</f>
        <v/>
      </c>
    </row>
    <row r="25" customFormat="false" ht="18" hidden="false" customHeight="true" outlineLevel="0" collapsed="false">
      <c r="A25" s="8" t="n">
        <v>14</v>
      </c>
      <c r="B25" s="9"/>
      <c r="C25" s="10"/>
      <c r="D25" s="10"/>
      <c r="E25" s="10"/>
      <c r="F25" s="10"/>
      <c r="G25" s="11"/>
      <c r="H25" s="11"/>
      <c r="I25" s="10"/>
      <c r="J25" s="11" t="str">
        <f aca="false">IF(F25="","",F25*H25*(1-I25/100))</f>
        <v/>
      </c>
      <c r="K25" s="10"/>
      <c r="L25" s="11" t="str">
        <f aca="false">IF(J25="","",J25*K25/100)</f>
        <v/>
      </c>
      <c r="M25" s="11" t="str">
        <f aca="false">IF(J25="","",J25+L25)</f>
        <v/>
      </c>
    </row>
    <row r="26" customFormat="false" ht="18" hidden="false" customHeight="true" outlineLevel="0" collapsed="false">
      <c r="A26" s="8" t="n">
        <v>15</v>
      </c>
      <c r="B26" s="9"/>
      <c r="C26" s="10"/>
      <c r="D26" s="10"/>
      <c r="E26" s="10"/>
      <c r="F26" s="10"/>
      <c r="G26" s="11"/>
      <c r="H26" s="11"/>
      <c r="I26" s="10"/>
      <c r="J26" s="11" t="str">
        <f aca="false">IF(F26="","",F26*H26*(1-I26/100))</f>
        <v/>
      </c>
      <c r="K26" s="10"/>
      <c r="L26" s="11" t="str">
        <f aca="false">IF(J26="","",J26*K26/100)</f>
        <v/>
      </c>
      <c r="M26" s="11" t="str">
        <f aca="false">IF(J26="","",J26+L26)</f>
        <v/>
      </c>
    </row>
    <row r="27" customFormat="false" ht="15" hidden="false" customHeight="false" outlineLevel="0" collapsed="false">
      <c r="A27" s="12" t="s">
        <v>31</v>
      </c>
      <c r="B27" s="12"/>
      <c r="C27" s="12"/>
      <c r="D27" s="12"/>
      <c r="E27" s="12"/>
      <c r="F27" s="12"/>
      <c r="G27" s="12"/>
      <c r="H27" s="12"/>
      <c r="I27" s="12"/>
      <c r="J27" s="13" t="n">
        <f aca="false">SUM(J12:J26)</f>
        <v>66.5</v>
      </c>
      <c r="K27" s="14"/>
      <c r="L27" s="13" t="n">
        <f aca="false">SUM(L12:L26)</f>
        <v>3.325</v>
      </c>
      <c r="M27" s="13" t="n">
        <f aca="false">SUM(M12:M26)</f>
        <v>69.825</v>
      </c>
    </row>
    <row r="28" customFormat="false" ht="24" hidden="false" customHeight="true" outlineLevel="0" collapsed="false">
      <c r="A28" s="15" t="s">
        <v>32</v>
      </c>
      <c r="B28" s="15"/>
      <c r="C28" s="15"/>
      <c r="D28" s="15"/>
      <c r="E28" s="15"/>
      <c r="F28" s="15"/>
      <c r="G28" s="15"/>
      <c r="H28" s="15"/>
      <c r="I28" s="15"/>
      <c r="J28" s="16" t="n">
        <f aca="false">ROUND(M27,0)</f>
        <v>70</v>
      </c>
      <c r="K28" s="16"/>
      <c r="L28" s="16"/>
      <c r="M28" s="16"/>
    </row>
    <row r="30" customFormat="false" ht="15" hidden="false" customHeight="false" outlineLevel="0" collapsed="false">
      <c r="A30" s="4" t="s">
        <v>33</v>
      </c>
      <c r="C30" s="17" t="s">
        <v>34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2" customFormat="false" ht="15.75" hidden="false" customHeight="true" outlineLevel="0" collapsed="false">
      <c r="A32" s="18" t="s">
        <v>35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customFormat="false" ht="13.5" hidden="false" customHeight="true" outlineLevel="0" collapsed="false">
      <c r="A33" s="19" t="s">
        <v>36</v>
      </c>
    </row>
  </sheetData>
  <mergeCells count="9">
    <mergeCell ref="A1:M1"/>
    <mergeCell ref="A2:M2"/>
    <mergeCell ref="A3:M3"/>
    <mergeCell ref="A5:M5"/>
    <mergeCell ref="A27:I27"/>
    <mergeCell ref="A28:I28"/>
    <mergeCell ref="J28:M28"/>
    <mergeCell ref="C30:M30"/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1" min="10" style="0" width="40"/>
  </cols>
  <sheetData>
    <row r="1" customFormat="false" ht="25.5" hidden="false" customHeight="true" outlineLevel="0" collapsed="false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30" hidden="false" customHeight="true" outlineLevel="0" collapsed="false">
      <c r="A2" s="7" t="s">
        <v>14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</row>
    <row r="3" customFormat="false" ht="15" hidden="false" customHeight="false" outlineLevel="0" collapsed="false">
      <c r="A3" s="21" t="s">
        <v>48</v>
      </c>
      <c r="B3" s="22" t="s">
        <v>49</v>
      </c>
      <c r="C3" s="21" t="s">
        <v>50</v>
      </c>
      <c r="D3" s="21" t="n">
        <v>35</v>
      </c>
      <c r="E3" s="21" t="n">
        <v>33.25</v>
      </c>
      <c r="F3" s="21" t="n">
        <v>5</v>
      </c>
      <c r="G3" s="21" t="n">
        <v>120</v>
      </c>
      <c r="H3" s="21" t="s">
        <v>51</v>
      </c>
      <c r="I3" s="21" t="s">
        <v>52</v>
      </c>
      <c r="J3" s="22" t="s">
        <v>53</v>
      </c>
      <c r="K3" s="23"/>
    </row>
    <row r="4" customFormat="false" ht="18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18" hidden="false" customHeight="tru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customFormat="false" ht="18" hidden="false" customHeight="true" outlineLevel="0" collapsed="false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8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customFormat="false" ht="18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18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customFormat="false" ht="18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customFormat="false" ht="18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18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8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customFormat="false" ht="18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customFormat="false" ht="18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customFormat="false" ht="18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8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18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8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18" hidden="false" customHeight="tru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customFormat="false" ht="18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customFormat="false" ht="18" hidden="false" customHeight="tru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customFormat="false" ht="18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8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customFormat="false" ht="18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customFormat="false" ht="18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customFormat="false" ht="18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customFormat="false" ht="18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customFormat="false" ht="18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customFormat="false" ht="18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18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customFormat="false" ht="18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customFormat="false" ht="18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5" customFormat="false" ht="27.75" hidden="false" customHeight="true" outlineLevel="0" collapsed="false">
      <c r="A35" s="18" t="s">
        <v>54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</sheetData>
  <mergeCells count="2">
    <mergeCell ref="A1:K1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2026-10-25T04:41:04Z</dcterms:created>
  <dc:creator>openpyxl</dc:creator>
  <dc:description/>
  <dc:language>en-US</dc:language>
  <cp:lastModifiedBy/>
  <dcterms:modified xsi:type="dcterms:W3CDTF">2026-10-25T04:41:04Z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